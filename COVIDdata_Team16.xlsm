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mer Cheaito\Desktop\MMA 2023\Courses\Winter 2023\INSY672\Project\"/>
    </mc:Choice>
  </mc:AlternateContent>
  <xr:revisionPtr revIDLastSave="0" documentId="8_{9CE303CE-34A6-4C08-8B71-0E83F6379E33}" xr6:coauthVersionLast="47" xr6:coauthVersionMax="47" xr10:uidLastSave="{00000000-0000-0000-0000-000000000000}"/>
  <bookViews>
    <workbookView xWindow="-108" yWindow="-108" windowWidth="23256" windowHeight="12576" xr2:uid="{D7CA3554-E027-497A-A0DA-D8BF8185723F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3" i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</calcChain>
</file>

<file path=xl/sharedStrings.xml><?xml version="1.0" encoding="utf-8"?>
<sst xmlns="http://schemas.openxmlformats.org/spreadsheetml/2006/main" count="8" uniqueCount="8">
  <si>
    <t xml:space="preserve">Cumulative Confirmed Infections </t>
  </si>
  <si>
    <t>Newly Death</t>
  </si>
  <si>
    <t>Newly Tested</t>
  </si>
  <si>
    <t>Newly Positive (Confirmed Infections)</t>
  </si>
  <si>
    <t>Positive Rate</t>
  </si>
  <si>
    <t>Saturdays</t>
  </si>
  <si>
    <t>Forecasted Newly Positive</t>
  </si>
  <si>
    <t>RMSE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</si>
</sst>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4">
    <font>
      <sz val="11"/>
      <color theme="1"/>
      <name val="Calibri"/>
      <family val="2"/>
      <charset val="134"/>
      <scheme val="minor"/>
    </font>
    <font>
      <sz val="8"/>
      <name val="Calibri"/>
      <family val="2"/>
      <charset val="134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4">
    <xf numFmtId="0" fontId="0" fillId="0" borderId="0" xfId="0"/>
    <xf numFmtId="164" fontId="0" fillId="0" borderId="0" xfId="0" applyNumberFormat="1"/>
    <xf numFmtId="0" fontId="3" fillId="0" borderId="0" xfId="0" applyFont="1"/>
    <xf numFmtId="0" fontId="2" fillId="2" borderId="0" xfId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855E1-1C0B-4B02-B54F-8BB88F4FAF44}">
  <dimension ref="A1:I25"/>
  <sheetViews>
    <sheetView tabSelected="1" topLeftCell="B1" workbookViewId="0">
      <selection activeCell="H17" sqref="H17"/>
    </sheetView>
  </sheetViews>
  <sheetFormatPr defaultRowHeight="14.4"/>
  <cols>
    <col min="1" max="1" width="29.88671875" customWidth="1"/>
    <col min="2" max="4" width="40.109375" customWidth="1"/>
    <col min="5" max="5" width="34.88671875" customWidth="1"/>
    <col min="9" max="9" width="11" bestFit="1" customWidth="1"/>
  </cols>
  <sheetData>
    <row r="1" spans="1:9">
      <c r="A1" t="s">
        <v>5</v>
      </c>
      <c r="B1" t="s">
        <v>2</v>
      </c>
      <c r="C1" t="s">
        <v>3</v>
      </c>
      <c r="D1" t="s">
        <v>4</v>
      </c>
      <c r="E1" t="s">
        <v>0</v>
      </c>
      <c r="F1" t="s">
        <v>1</v>
      </c>
      <c r="G1" s="2" t="s">
        <v>6</v>
      </c>
      <c r="H1" s="2"/>
      <c r="I1" s="2"/>
    </row>
    <row r="2" spans="1:9">
      <c r="A2" s="1">
        <v>44485</v>
      </c>
      <c r="E2">
        <v>148124</v>
      </c>
    </row>
    <row r="3" spans="1:9">
      <c r="A3" s="1">
        <v>44492</v>
      </c>
      <c r="B3">
        <v>43915</v>
      </c>
      <c r="C3">
        <v>812</v>
      </c>
      <c r="D3">
        <f>C3/B3</f>
        <v>1.8490265285210066E-2</v>
      </c>
      <c r="E3">
        <v>148936</v>
      </c>
      <c r="F3">
        <v>11</v>
      </c>
      <c r="G3" s="3">
        <v>9</v>
      </c>
    </row>
    <row r="4" spans="1:9">
      <c r="A4" s="1">
        <v>44499</v>
      </c>
      <c r="B4">
        <v>44565</v>
      </c>
      <c r="C4">
        <v>940</v>
      </c>
      <c r="D4">
        <f t="shared" ref="D4:D23" si="0">C4/B4</f>
        <v>2.1092785818467408E-2</v>
      </c>
      <c r="E4">
        <f>E3+C4</f>
        <v>149876</v>
      </c>
      <c r="F4">
        <v>5</v>
      </c>
      <c r="G4" s="3">
        <v>23</v>
      </c>
    </row>
    <row r="5" spans="1:9">
      <c r="A5" s="1">
        <v>44500</v>
      </c>
      <c r="B5">
        <v>46637</v>
      </c>
      <c r="C5">
        <v>1080</v>
      </c>
      <c r="D5">
        <f t="shared" si="0"/>
        <v>2.3157578746488838E-2</v>
      </c>
      <c r="E5">
        <f t="shared" ref="E5:E23" si="1">E4+C5</f>
        <v>150956</v>
      </c>
      <c r="F5">
        <v>8</v>
      </c>
      <c r="G5" s="3">
        <v>62</v>
      </c>
    </row>
    <row r="6" spans="1:9">
      <c r="A6" s="1">
        <v>44507</v>
      </c>
      <c r="B6">
        <v>48151</v>
      </c>
      <c r="C6">
        <v>1342</v>
      </c>
      <c r="D6">
        <f t="shared" si="0"/>
        <v>2.787065689186102E-2</v>
      </c>
      <c r="E6">
        <f t="shared" si="1"/>
        <v>152298</v>
      </c>
      <c r="F6">
        <v>4</v>
      </c>
      <c r="G6" s="3">
        <v>173</v>
      </c>
    </row>
    <row r="7" spans="1:9">
      <c r="A7" s="1">
        <v>44514</v>
      </c>
      <c r="B7">
        <v>46685</v>
      </c>
      <c r="C7">
        <v>1461</v>
      </c>
      <c r="D7">
        <f t="shared" si="0"/>
        <v>3.1294848452393706E-2</v>
      </c>
      <c r="E7">
        <f t="shared" si="1"/>
        <v>153759</v>
      </c>
      <c r="F7">
        <v>2</v>
      </c>
      <c r="G7" s="3">
        <v>471</v>
      </c>
    </row>
    <row r="8" spans="1:9">
      <c r="A8" s="1">
        <v>44521</v>
      </c>
      <c r="B8">
        <v>51167</v>
      </c>
      <c r="C8">
        <v>1700</v>
      </c>
      <c r="D8">
        <f t="shared" si="0"/>
        <v>3.3224539253815938E-2</v>
      </c>
      <c r="E8">
        <f t="shared" si="1"/>
        <v>155459</v>
      </c>
      <c r="F8">
        <v>7</v>
      </c>
      <c r="G8" s="3">
        <v>1232</v>
      </c>
    </row>
    <row r="9" spans="1:9">
      <c r="A9" s="1">
        <v>44528</v>
      </c>
      <c r="B9">
        <v>57106</v>
      </c>
      <c r="C9">
        <v>2382</v>
      </c>
      <c r="D9">
        <f t="shared" si="0"/>
        <v>4.1711904178194939E-2</v>
      </c>
      <c r="E9">
        <f t="shared" si="1"/>
        <v>157841</v>
      </c>
      <c r="F9">
        <v>3</v>
      </c>
      <c r="G9" s="3">
        <v>2916</v>
      </c>
    </row>
    <row r="10" spans="1:9">
      <c r="A10" s="1">
        <v>44535</v>
      </c>
      <c r="B10">
        <v>62484</v>
      </c>
      <c r="C10">
        <v>3163</v>
      </c>
      <c r="D10">
        <f t="shared" si="0"/>
        <v>5.0620958965495164E-2</v>
      </c>
      <c r="E10">
        <f t="shared" si="1"/>
        <v>161004</v>
      </c>
      <c r="F10">
        <v>6</v>
      </c>
      <c r="G10" s="3">
        <v>5660</v>
      </c>
    </row>
    <row r="11" spans="1:9">
      <c r="A11" s="1">
        <v>44542</v>
      </c>
      <c r="B11">
        <v>76326</v>
      </c>
      <c r="C11">
        <v>6866</v>
      </c>
      <c r="D11">
        <f t="shared" si="0"/>
        <v>8.9956240337499674E-2</v>
      </c>
      <c r="E11">
        <f t="shared" si="1"/>
        <v>167870</v>
      </c>
      <c r="F11">
        <v>7</v>
      </c>
      <c r="G11" s="3">
        <v>8320</v>
      </c>
    </row>
    <row r="12" spans="1:9">
      <c r="A12" s="1">
        <v>44549</v>
      </c>
      <c r="B12">
        <v>95164</v>
      </c>
      <c r="C12">
        <v>18862</v>
      </c>
      <c r="D12">
        <f t="shared" si="0"/>
        <v>0.19820520364843849</v>
      </c>
      <c r="E12">
        <f t="shared" si="1"/>
        <v>186732</v>
      </c>
      <c r="F12">
        <v>7</v>
      </c>
      <c r="G12" s="3">
        <v>9639</v>
      </c>
    </row>
    <row r="13" spans="1:9">
      <c r="A13" s="1">
        <v>44556</v>
      </c>
      <c r="B13">
        <v>94971</v>
      </c>
      <c r="C13">
        <v>28467</v>
      </c>
      <c r="D13">
        <f t="shared" si="0"/>
        <v>0.29974413241937015</v>
      </c>
      <c r="E13">
        <f t="shared" si="1"/>
        <v>215199</v>
      </c>
      <c r="F13">
        <v>16</v>
      </c>
      <c r="G13" s="3">
        <v>9962</v>
      </c>
    </row>
    <row r="14" spans="1:9">
      <c r="A14" s="1">
        <v>44563</v>
      </c>
      <c r="B14">
        <v>90821</v>
      </c>
      <c r="C14">
        <v>26809</v>
      </c>
      <c r="D14">
        <f t="shared" si="0"/>
        <v>0.29518503429823501</v>
      </c>
      <c r="E14">
        <f t="shared" si="1"/>
        <v>242008</v>
      </c>
      <c r="F14">
        <v>55</v>
      </c>
      <c r="G14" s="3">
        <v>9979</v>
      </c>
    </row>
    <row r="15" spans="1:9">
      <c r="A15" s="1">
        <v>44570</v>
      </c>
      <c r="B15">
        <v>78155</v>
      </c>
      <c r="C15">
        <v>15472</v>
      </c>
      <c r="D15">
        <f t="shared" si="0"/>
        <v>0.19796558121681274</v>
      </c>
      <c r="E15">
        <f t="shared" si="1"/>
        <v>257480</v>
      </c>
      <c r="F15">
        <v>93</v>
      </c>
      <c r="G15" s="3">
        <v>9939</v>
      </c>
    </row>
    <row r="16" spans="1:9">
      <c r="A16" s="1">
        <v>44577</v>
      </c>
      <c r="B16">
        <v>60071</v>
      </c>
      <c r="C16">
        <v>7359</v>
      </c>
      <c r="D16">
        <f t="shared" si="0"/>
        <v>0.12250503570774583</v>
      </c>
      <c r="E16">
        <f t="shared" si="1"/>
        <v>264839</v>
      </c>
      <c r="F16">
        <v>96</v>
      </c>
      <c r="G16" s="3">
        <v>9890</v>
      </c>
    </row>
    <row r="17" spans="1:7">
      <c r="A17" s="1">
        <v>44584</v>
      </c>
      <c r="B17">
        <v>42955</v>
      </c>
      <c r="C17">
        <v>4415</v>
      </c>
      <c r="D17">
        <f t="shared" si="0"/>
        <v>0.10278198114305669</v>
      </c>
      <c r="E17">
        <f t="shared" si="1"/>
        <v>269254</v>
      </c>
      <c r="F17">
        <v>81</v>
      </c>
      <c r="G17" s="3">
        <v>9841</v>
      </c>
    </row>
    <row r="18" spans="1:7">
      <c r="A18" s="1">
        <v>44591</v>
      </c>
      <c r="B18">
        <v>37614</v>
      </c>
      <c r="C18">
        <v>3545</v>
      </c>
      <c r="D18">
        <f t="shared" si="0"/>
        <v>9.4246822991439355E-2</v>
      </c>
      <c r="E18">
        <f t="shared" si="1"/>
        <v>272799</v>
      </c>
      <c r="F18">
        <v>52</v>
      </c>
      <c r="G18" s="3">
        <v>9792</v>
      </c>
    </row>
    <row r="19" spans="1:7">
      <c r="A19" s="1">
        <v>44598</v>
      </c>
      <c r="B19">
        <v>33388</v>
      </c>
      <c r="C19">
        <v>2799</v>
      </c>
      <c r="D19">
        <f t="shared" si="0"/>
        <v>8.3832514675931474E-2</v>
      </c>
      <c r="E19">
        <f t="shared" si="1"/>
        <v>275598</v>
      </c>
      <c r="F19">
        <v>35</v>
      </c>
      <c r="G19" s="3">
        <v>9743</v>
      </c>
    </row>
    <row r="20" spans="1:7">
      <c r="A20" s="1">
        <v>44605</v>
      </c>
      <c r="B20">
        <v>29171</v>
      </c>
      <c r="C20">
        <v>1823</v>
      </c>
      <c r="D20">
        <f t="shared" si="0"/>
        <v>6.2493572383531593E-2</v>
      </c>
      <c r="E20">
        <f t="shared" si="1"/>
        <v>277421</v>
      </c>
      <c r="F20">
        <v>18</v>
      </c>
      <c r="G20" s="3">
        <v>9694</v>
      </c>
    </row>
    <row r="21" spans="1:7">
      <c r="A21" s="1">
        <v>44612</v>
      </c>
      <c r="B21">
        <v>27998</v>
      </c>
      <c r="C21">
        <v>1390</v>
      </c>
      <c r="D21">
        <f t="shared" si="0"/>
        <v>4.9646403314522469E-2</v>
      </c>
      <c r="E21">
        <f t="shared" si="1"/>
        <v>278811</v>
      </c>
      <c r="F21">
        <v>9</v>
      </c>
      <c r="G21" s="3">
        <v>9646</v>
      </c>
    </row>
    <row r="22" spans="1:7">
      <c r="A22" s="1">
        <v>44619</v>
      </c>
      <c r="B22">
        <v>21087</v>
      </c>
      <c r="C22">
        <v>1067</v>
      </c>
      <c r="D22">
        <f t="shared" si="0"/>
        <v>5.0599895670318203E-2</v>
      </c>
      <c r="E22">
        <f t="shared" si="1"/>
        <v>279878</v>
      </c>
      <c r="F22">
        <v>10</v>
      </c>
      <c r="G22" s="3">
        <v>9598</v>
      </c>
    </row>
    <row r="23" spans="1:7">
      <c r="A23" s="1">
        <v>44626</v>
      </c>
      <c r="B23">
        <v>17716</v>
      </c>
      <c r="C23">
        <v>1011</v>
      </c>
      <c r="D23">
        <f t="shared" si="0"/>
        <v>5.7067058026642581E-2</v>
      </c>
      <c r="E23">
        <f t="shared" si="1"/>
        <v>280889</v>
      </c>
      <c r="F23">
        <v>7</v>
      </c>
      <c r="G23" s="3">
        <v>9550</v>
      </c>
    </row>
    <row r="24" spans="1:7">
      <c r="A24" s="1"/>
    </row>
    <row r="25" spans="1:7">
      <c r="F25" s="2" t="s">
        <v>7</v>
      </c>
      <c r="G25" s="3">
        <v>7412.951</v>
      </c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Yichuan Daniel Ding, Prof</dc:creator>
  <cp:lastModifiedBy>Tarek Cheaito</cp:lastModifiedBy>
  <dcterms:created xsi:type="dcterms:W3CDTF">2020-02-05T05:47:40Z</dcterms:created>
  <dcterms:modified xsi:type="dcterms:W3CDTF">2023-02-22T03:13:35Z</dcterms:modified>
</cp:coreProperties>
</file>